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W\Documents\"/>
    </mc:Choice>
  </mc:AlternateContent>
  <xr:revisionPtr revIDLastSave="0" documentId="8_{C7BE04EC-4F3D-45DE-894E-04FA7B5055A4}" xr6:coauthVersionLast="47" xr6:coauthVersionMax="47" xr10:uidLastSave="{00000000-0000-0000-0000-000000000000}"/>
  <bookViews>
    <workbookView xWindow="-120" yWindow="-120" windowWidth="20730" windowHeight="11310" xr2:uid="{FC102F0D-C9E7-41D1-8762-42B82F269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1" l="1"/>
  <c r="D9" i="1"/>
  <c r="C48" i="1"/>
  <c r="D48" i="1" s="1"/>
  <c r="D46" i="1"/>
  <c r="C41" i="1"/>
  <c r="C29" i="1"/>
  <c r="C14" i="1"/>
  <c r="C16" i="1" s="1"/>
  <c r="C9" i="1"/>
</calcChain>
</file>

<file path=xl/sharedStrings.xml><?xml version="1.0" encoding="utf-8"?>
<sst xmlns="http://schemas.openxmlformats.org/spreadsheetml/2006/main" count="45" uniqueCount="44">
  <si>
    <t>DAY BUSINESS SUMMARY REPORT</t>
  </si>
  <si>
    <t>1. SALES &amp; REVENUE SUMMARY</t>
  </si>
  <si>
    <t>Gross Sales</t>
  </si>
  <si>
    <t>Sales Discount(-)</t>
  </si>
  <si>
    <t>Net Sales (Gross sales - Sales Discount)</t>
  </si>
  <si>
    <t>Sales Returns(-)</t>
  </si>
  <si>
    <t>SALES REVENUE(Net Sales - Sales Return)</t>
  </si>
  <si>
    <t>2. PURCHASE &amp; COST SUMMARY</t>
  </si>
  <si>
    <t>Gross Purchases</t>
  </si>
  <si>
    <t>Purchase Discount(-)</t>
  </si>
  <si>
    <t>Purchase Returns(-)</t>
  </si>
  <si>
    <t>Net Purchases(Gross Purchases - Purchase Discount)</t>
  </si>
  <si>
    <t>PURCHASE COST(Net Purchases - Purchase Returns)</t>
  </si>
  <si>
    <t>3. CUSTOMER COLLECTION SUMMARY</t>
  </si>
  <si>
    <t>Cash Collections</t>
  </si>
  <si>
    <t>Bank Transfers</t>
  </si>
  <si>
    <t>Card Payments</t>
  </si>
  <si>
    <t>Cheque Payments</t>
  </si>
  <si>
    <t>Cheque Returned</t>
  </si>
  <si>
    <t>Cheque Returned (-)</t>
  </si>
  <si>
    <t>TOTAL CUSTOMER COLLECTIONS</t>
  </si>
  <si>
    <t>4. SUPPLIER PAYMENT SUMMARY</t>
  </si>
  <si>
    <t>Cash Payments</t>
  </si>
  <si>
    <t>TOTAL SUPPLIER PAYMENTS</t>
  </si>
  <si>
    <t>5. CHEQUE STATUS SUMMARY</t>
  </si>
  <si>
    <t>Cheque Pending Deposit</t>
  </si>
  <si>
    <t>Cheque Deposited (Not Realized)</t>
  </si>
  <si>
    <t>Cheque Realized</t>
  </si>
  <si>
    <t>6. EXPENSE SUMMARY</t>
  </si>
  <si>
    <t>Transport</t>
  </si>
  <si>
    <t>Electricity</t>
  </si>
  <si>
    <t>Office Expenses</t>
  </si>
  <si>
    <t>TOTAL EXPENSES</t>
  </si>
  <si>
    <t>7. PROFIT &amp; LOSS SUMMARY</t>
  </si>
  <si>
    <t>Final Sales Revenue</t>
  </si>
  <si>
    <t>Final Purchase Cost (-)</t>
  </si>
  <si>
    <t>GROSS PROFIT</t>
  </si>
  <si>
    <t>Expenses</t>
  </si>
  <si>
    <t>NET PROFIT</t>
  </si>
  <si>
    <t>Gross Profit % = (Gross Profit / Sales) × 100</t>
  </si>
  <si>
    <t>Net Profit % = (Net Profit / Sales) × 100</t>
  </si>
  <si>
    <t>`</t>
  </si>
  <si>
    <t>(Sales Revenue ÷ Gross Sales) × 100</t>
  </si>
  <si>
    <t>(Purchase Cost ÷ Gross Purchases) ×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</si>
</sst>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43" fontId="0" fillId="0" borderId="0" xfId="1" applyFont="1"/>
    <xf numFmtId="0" fontId="4" fillId="0" borderId="0" xfId="0" applyFont="1" applyAlignment="1">
      <alignment horizontal="center" vertical="center" wrapText="1"/>
    </xf>
    <xf numFmtId="43" fontId="0" fillId="0" borderId="0" xfId="1" applyFont="1" applyAlignment="1">
      <alignment horizontal="right"/>
    </xf>
    <xf numFmtId="43" fontId="2" fillId="0" borderId="0" xfId="1" applyFont="1" applyAlignment="1">
      <alignment horizontal="right"/>
    </xf>
    <xf numFmtId="43" fontId="3" fillId="0" borderId="0" xfId="1" applyFont="1" applyAlignment="1">
      <alignment horizontal="right"/>
    </xf>
    <xf numFmtId="43" fontId="1" fillId="0" borderId="0" xfId="1" applyFont="1" applyAlignment="1">
      <alignment horizontal="right"/>
    </xf>
    <xf numFmtId="43" fontId="5" fillId="0" borderId="0" xfId="1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069C-4643-4B45-A436-BB5C5A2C3255}">
  <dimension ref="B1:E51"/>
  <sheetViews>
    <sheetView tabSelected="1" topLeftCell="A31" workbookViewId="0">
      <selection activeCell="E45" sqref="E45"/>
    </sheetView>
  </sheetViews>
  <sheetFormatPr defaultRowHeight="15"/>
  <cols>
    <col min="2" max="2" width="48.140625" bestFit="1" customWidth="1"/>
    <col min="3" max="3" width="14.42578125" style="5" bestFit="1" customWidth="1"/>
    <col min="4" max="4" width="7" style="3" bestFit="1" customWidth="1"/>
    <col min="5" max="5" width="39" bestFit="1" customWidth="1"/>
  </cols>
  <sheetData>
    <row r="1" spans="2:5" ht="29.25" customHeight="1">
      <c r="B1" s="4" t="s">
        <v>0</v>
      </c>
      <c r="C1" s="4"/>
    </row>
    <row r="4" spans="2:5">
      <c r="B4" s="1" t="s">
        <v>1</v>
      </c>
    </row>
    <row r="5" spans="2:5">
      <c r="B5" s="2" t="s">
        <v>2</v>
      </c>
      <c r="C5" s="5">
        <v>350000</v>
      </c>
    </row>
    <row r="6" spans="2:5">
      <c r="B6" s="2" t="s">
        <v>3</v>
      </c>
      <c r="C6" s="5">
        <v>15000</v>
      </c>
    </row>
    <row r="7" spans="2:5">
      <c r="B7" s="10" t="s">
        <v>4</v>
      </c>
      <c r="C7" s="6">
        <v>335000</v>
      </c>
    </row>
    <row r="8" spans="2:5">
      <c r="B8" s="2" t="s">
        <v>5</v>
      </c>
      <c r="C8" s="5">
        <v>20000</v>
      </c>
    </row>
    <row r="9" spans="2:5" ht="15.75">
      <c r="B9" s="10" t="s">
        <v>6</v>
      </c>
      <c r="C9" s="7">
        <f>C7-C8</f>
        <v>315000</v>
      </c>
      <c r="D9" s="3">
        <f>(C9/C5)*100</f>
        <v>90</v>
      </c>
      <c r="E9" t="s">
        <v>42</v>
      </c>
    </row>
    <row r="11" spans="2:5">
      <c r="B11" s="1" t="s">
        <v>7</v>
      </c>
    </row>
    <row r="12" spans="2:5">
      <c r="B12" s="2" t="s">
        <v>8</v>
      </c>
      <c r="C12" s="5">
        <v>200000</v>
      </c>
    </row>
    <row r="13" spans="2:5">
      <c r="B13" s="2" t="s">
        <v>9</v>
      </c>
      <c r="C13" s="5">
        <v>12000</v>
      </c>
    </row>
    <row r="14" spans="2:5">
      <c r="B14" s="10" t="s">
        <v>11</v>
      </c>
      <c r="C14" s="6">
        <f>C12-C13</f>
        <v>188000</v>
      </c>
    </row>
    <row r="15" spans="2:5">
      <c r="B15" s="2" t="s">
        <v>10</v>
      </c>
      <c r="C15" s="5">
        <v>8000</v>
      </c>
      <c r="E15" s="11"/>
    </row>
    <row r="16" spans="2:5" ht="15.75">
      <c r="B16" s="10" t="s">
        <v>12</v>
      </c>
      <c r="C16" s="7">
        <f>C14-C15</f>
        <v>180000</v>
      </c>
      <c r="D16" s="3">
        <f>(C16/C12)*100</f>
        <v>90</v>
      </c>
      <c r="E16" s="12" t="s">
        <v>43</v>
      </c>
    </row>
    <row r="17" spans="2:5">
      <c r="E17" s="12"/>
    </row>
    <row r="18" spans="2:5">
      <c r="B18" s="1" t="s">
        <v>13</v>
      </c>
    </row>
    <row r="19" spans="2:5">
      <c r="B19" s="2" t="s">
        <v>14</v>
      </c>
      <c r="C19" s="5">
        <v>80000</v>
      </c>
    </row>
    <row r="20" spans="2:5">
      <c r="B20" s="2" t="s">
        <v>15</v>
      </c>
      <c r="C20" s="5">
        <v>30000</v>
      </c>
    </row>
    <row r="21" spans="2:5">
      <c r="B21" s="2" t="s">
        <v>16</v>
      </c>
      <c r="C21" s="5">
        <v>20000</v>
      </c>
    </row>
    <row r="22" spans="2:5">
      <c r="B22" s="2" t="s">
        <v>17</v>
      </c>
      <c r="C22" s="5">
        <v>75000</v>
      </c>
    </row>
    <row r="23" spans="2:5">
      <c r="B23" s="2" t="s">
        <v>19</v>
      </c>
      <c r="C23" s="5">
        <v>5000</v>
      </c>
    </row>
    <row r="24" spans="2:5" ht="15.75">
      <c r="B24" s="10" t="s">
        <v>20</v>
      </c>
      <c r="C24" s="7">
        <v>200000</v>
      </c>
    </row>
    <row r="26" spans="2:5">
      <c r="B26" s="1" t="s">
        <v>21</v>
      </c>
    </row>
    <row r="27" spans="2:5">
      <c r="B27" s="2" t="s">
        <v>22</v>
      </c>
      <c r="C27" s="5">
        <v>60000</v>
      </c>
    </row>
    <row r="28" spans="2:5">
      <c r="B28" s="2" t="s">
        <v>17</v>
      </c>
      <c r="C28" s="5">
        <v>40000</v>
      </c>
    </row>
    <row r="29" spans="2:5" ht="15.75">
      <c r="B29" s="2" t="s">
        <v>23</v>
      </c>
      <c r="C29" s="7">
        <f>SUM(C27:C28)</f>
        <v>100000</v>
      </c>
    </row>
    <row r="31" spans="2:5">
      <c r="B31" s="1" t="s">
        <v>24</v>
      </c>
    </row>
    <row r="32" spans="2:5">
      <c r="B32" s="2" t="s">
        <v>25</v>
      </c>
      <c r="C32" s="5">
        <v>30000</v>
      </c>
    </row>
    <row r="33" spans="2:5">
      <c r="B33" s="2" t="s">
        <v>26</v>
      </c>
      <c r="C33" s="5">
        <v>25000</v>
      </c>
    </row>
    <row r="34" spans="2:5">
      <c r="B34" s="2" t="s">
        <v>27</v>
      </c>
      <c r="C34" s="5">
        <v>20000</v>
      </c>
    </row>
    <row r="35" spans="2:5">
      <c r="B35" s="2" t="s">
        <v>18</v>
      </c>
      <c r="C35" s="5">
        <v>5000</v>
      </c>
    </row>
    <row r="37" spans="2:5">
      <c r="B37" s="1" t="s">
        <v>28</v>
      </c>
    </row>
    <row r="38" spans="2:5">
      <c r="B38" s="2" t="s">
        <v>29</v>
      </c>
      <c r="C38" s="5">
        <v>5000</v>
      </c>
    </row>
    <row r="39" spans="2:5">
      <c r="B39" s="2" t="s">
        <v>30</v>
      </c>
      <c r="C39" s="5">
        <v>3000</v>
      </c>
    </row>
    <row r="40" spans="2:5">
      <c r="B40" s="2" t="s">
        <v>31</v>
      </c>
      <c r="C40" s="5">
        <v>2500</v>
      </c>
    </row>
    <row r="41" spans="2:5" ht="15.75">
      <c r="B41" s="10" t="s">
        <v>32</v>
      </c>
      <c r="C41" s="7">
        <f>SUM(C38:C40)</f>
        <v>10500</v>
      </c>
    </row>
    <row r="43" spans="2:5">
      <c r="B43" s="1" t="s">
        <v>33</v>
      </c>
    </row>
    <row r="44" spans="2:5">
      <c r="B44" s="2" t="s">
        <v>34</v>
      </c>
      <c r="C44" s="8">
        <v>315000</v>
      </c>
    </row>
    <row r="45" spans="2:5">
      <c r="B45" s="2" t="s">
        <v>35</v>
      </c>
      <c r="C45" s="8">
        <v>180000</v>
      </c>
    </row>
    <row r="46" spans="2:5" ht="15.75">
      <c r="B46" s="10" t="s">
        <v>36</v>
      </c>
      <c r="C46" s="7">
        <v>135000</v>
      </c>
      <c r="D46" s="3">
        <f>(C46/C44)*100</f>
        <v>42.857142857142854</v>
      </c>
      <c r="E46" t="s">
        <v>39</v>
      </c>
    </row>
    <row r="47" spans="2:5">
      <c r="B47" s="2" t="s">
        <v>37</v>
      </c>
      <c r="C47" s="8">
        <v>10500</v>
      </c>
    </row>
    <row r="48" spans="2:5" ht="17.25">
      <c r="B48" s="10" t="s">
        <v>38</v>
      </c>
      <c r="C48" s="9">
        <f>C46-C47</f>
        <v>124500</v>
      </c>
      <c r="D48" s="3">
        <f>(C48/C44)*100</f>
        <v>39.523809523809526</v>
      </c>
      <c r="E48" t="s">
        <v>40</v>
      </c>
    </row>
    <row r="51" spans="3:3">
      <c r="C51" s="5" t="s">
        <v>41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Metheeswaran Subagaran</dc:creator>
  <cp:lastModifiedBy>Metheeswaran Subagaran</cp:lastModifiedBy>
  <dcterms:created xsi:type="dcterms:W3CDTF">2026-03-21T01:41:38Z</dcterms:created>
  <dcterms:modified xsi:type="dcterms:W3CDTF">2026-03-21T02:19:44Z</dcterms:modified>
</cp:coreProperties>
</file>